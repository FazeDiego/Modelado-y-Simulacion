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9E5373CA-B74E-4A13-AC92-BE3CAF77414B}" xr6:coauthVersionLast="47" xr6:coauthVersionMax="47" xr10:uidLastSave="{00000000-0000-0000-0000-000000000000}"/>
  <bookViews>
    <workbookView xWindow="-120" yWindow="-120" windowWidth="29040" windowHeight="15720" activeTab="1" xr2:uid="{4B4EFDA6-7982-4961-9562-697E4F8978EA}"/>
  </bookViews>
  <sheets>
    <sheet name="PuntoFijo" sheetId="1" r:id="rId1"/>
    <sheet name="IntegraciónNumer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2" l="1"/>
  <c r="E51" i="2"/>
  <c r="E46" i="2"/>
  <c r="E47" i="2"/>
  <c r="E48" i="2"/>
  <c r="E49" i="2"/>
  <c r="E45" i="2"/>
  <c r="D46" i="2"/>
  <c r="D47" i="2"/>
  <c r="D48" i="2"/>
  <c r="D49" i="2"/>
  <c r="D45" i="2"/>
  <c r="C46" i="2"/>
  <c r="C47" i="2"/>
  <c r="C48" i="2"/>
  <c r="C49" i="2"/>
  <c r="C45" i="2"/>
  <c r="B49" i="2"/>
  <c r="B46" i="2"/>
  <c r="B47" i="2" s="1"/>
  <c r="B48" i="2" s="1"/>
  <c r="B45" i="2"/>
  <c r="G23" i="2"/>
  <c r="D24" i="2"/>
  <c r="D25" i="2"/>
  <c r="D26" i="2"/>
  <c r="D27" i="2"/>
  <c r="D23" i="2"/>
  <c r="C25" i="2"/>
  <c r="C26" i="2"/>
  <c r="C27" i="2"/>
  <c r="C24" i="2"/>
  <c r="F17" i="2"/>
  <c r="B27" i="2"/>
  <c r="B25" i="2"/>
  <c r="B26" i="2" s="1"/>
  <c r="B24" i="2"/>
  <c r="B34" i="1"/>
  <c r="F34" i="1"/>
  <c r="H34" i="1"/>
  <c r="F33" i="1"/>
  <c r="E34" i="1"/>
  <c r="G34" i="1" s="1"/>
  <c r="D34" i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B33" i="1"/>
  <c r="G10" i="1"/>
  <c r="G11" i="1"/>
  <c r="G12" i="1"/>
  <c r="G13" i="1"/>
  <c r="G14" i="1"/>
  <c r="G15" i="1"/>
  <c r="G16" i="1"/>
  <c r="G17" i="1"/>
  <c r="G18" i="1"/>
  <c r="G19" i="1"/>
  <c r="G20" i="1"/>
  <c r="G9" i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9" i="1"/>
  <c r="E17" i="1"/>
  <c r="F17" i="1"/>
  <c r="E18" i="1"/>
  <c r="F18" i="1" s="1"/>
  <c r="E19" i="1" s="1"/>
  <c r="F19" i="1" s="1"/>
  <c r="E20" i="1" s="1"/>
  <c r="F20" i="1" s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B9" i="1"/>
  <c r="B10" i="1"/>
  <c r="B11" i="1"/>
  <c r="B12" i="1"/>
  <c r="B13" i="1"/>
  <c r="B14" i="1"/>
  <c r="B15" i="1"/>
  <c r="B16" i="1"/>
  <c r="B17" i="1"/>
  <c r="B18" i="1"/>
  <c r="B8" i="1"/>
  <c r="E35" i="1" l="1"/>
  <c r="H35" i="1" l="1"/>
  <c r="F35" i="1"/>
  <c r="G35" i="1"/>
  <c r="E36" i="1"/>
  <c r="F36" i="1" l="1"/>
  <c r="H36" i="1"/>
  <c r="E37" i="1"/>
  <c r="G36" i="1"/>
  <c r="H37" i="1" l="1"/>
  <c r="F37" i="1"/>
  <c r="G37" i="1"/>
  <c r="E38" i="1"/>
  <c r="H38" i="1" l="1"/>
  <c r="F38" i="1"/>
  <c r="G38" i="1"/>
  <c r="E39" i="1"/>
  <c r="H39" i="1" l="1"/>
  <c r="F39" i="1"/>
  <c r="E40" i="1" s="1"/>
  <c r="G39" i="1"/>
  <c r="F40" i="1" l="1"/>
  <c r="H40" i="1"/>
  <c r="G40" i="1"/>
  <c r="E41" i="1"/>
  <c r="H41" i="1" l="1"/>
  <c r="F41" i="1"/>
  <c r="E42" i="1" s="1"/>
  <c r="G41" i="1"/>
  <c r="H42" i="1" l="1"/>
  <c r="F42" i="1"/>
  <c r="E43" i="1"/>
  <c r="G42" i="1"/>
  <c r="H43" i="1" l="1"/>
  <c r="F43" i="1"/>
  <c r="G43" i="1"/>
  <c r="E44" i="1"/>
  <c r="H44" i="1" l="1"/>
  <c r="F44" i="1"/>
  <c r="E45" i="1" s="1"/>
  <c r="G44" i="1"/>
  <c r="F45" i="1" l="1"/>
  <c r="H45" i="1"/>
  <c r="G45" i="1"/>
</calcChain>
</file>

<file path=xl/sharedStrings.xml><?xml version="1.0" encoding="utf-8"?>
<sst xmlns="http://schemas.openxmlformats.org/spreadsheetml/2006/main" count="35" uniqueCount="25">
  <si>
    <t>x</t>
  </si>
  <si>
    <t>f(x)</t>
  </si>
  <si>
    <t>g(x)</t>
  </si>
  <si>
    <t>n</t>
  </si>
  <si>
    <t>error</t>
  </si>
  <si>
    <t>error absoluto</t>
  </si>
  <si>
    <t>i</t>
  </si>
  <si>
    <t>xi</t>
  </si>
  <si>
    <t>f(xi)</t>
  </si>
  <si>
    <t xml:space="preserve">n = </t>
  </si>
  <si>
    <t>xi = a+i*h</t>
  </si>
  <si>
    <t xml:space="preserve">h = </t>
  </si>
  <si>
    <t>Limites de la integral</t>
  </si>
  <si>
    <t xml:space="preserve">a = </t>
  </si>
  <si>
    <t>b =</t>
  </si>
  <si>
    <t>Regla del trapecio compuesta</t>
  </si>
  <si>
    <t>f(x) dx ≈</t>
  </si>
  <si>
    <t>Verifico -&gt;</t>
  </si>
  <si>
    <t>Rectangulo Punto Medio</t>
  </si>
  <si>
    <t>n =</t>
  </si>
  <si>
    <t>h =</t>
  </si>
  <si>
    <t>xe</t>
  </si>
  <si>
    <t>x̅e</t>
  </si>
  <si>
    <t>f(x̅e)</t>
  </si>
  <si>
    <t>sumatoria de f(xp)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</si>
</sst>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1" xfId="0" applyFill="1" applyBorder="1"/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5" borderId="3" xfId="0" applyFill="1" applyBorder="1"/>
    <xf numFmtId="0" fontId="0" fillId="5" borderId="4" xfId="0" applyFill="1" applyBorder="1"/>
    <xf numFmtId="0" fontId="0" fillId="9" borderId="1" xfId="0" applyFill="1" applyBorder="1"/>
    <xf numFmtId="0" fontId="0" fillId="9" borderId="0" xfId="0" applyFill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/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0</xdr:row>
      <xdr:rowOff>142875</xdr:rowOff>
    </xdr:from>
    <xdr:to>
      <xdr:col>7</xdr:col>
      <xdr:colOff>66675</xdr:colOff>
      <xdr:row>5</xdr:row>
      <xdr:rowOff>28575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F5653FA2-34FB-3E18-3AF4-AA1C0C465CAE}"/>
                </a:ext>
              </a:extLst>
            </xdr:cNvPr>
            <xdr:cNvSpPr/>
          </xdr:nvSpPr>
          <xdr:spPr>
            <a:xfrm>
              <a:off x="2676525" y="142875"/>
              <a:ext cx="2724150" cy="838200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s-AR" sz="1100"/>
                <a:t>f(x)</a:t>
              </a:r>
              <a14:m>
                <m:oMath xmlns:m="http://schemas.openxmlformats.org/officeDocument/2006/math">
                  <m:r>
                    <a:rPr lang="es-AR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s-AR" sz="1100" b="0" i="1">
                      <a:latin typeface="Cambria Math" panose="02040503050406030204" pitchFamily="18" charset="0"/>
                    </a:rPr>
                    <m:t>3</m:t>
                  </m:r>
                  <m:r>
                    <a:rPr lang="es-AR" sz="110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s-AR" sz="1100" b="0" i="1">
                      <a:latin typeface="Cambria Math" panose="02040503050406030204" pitchFamily="18" charset="0"/>
                    </a:rPr>
                    <m:t>−</m:t>
                  </m:r>
                  <m:sSup>
                    <m:sSupPr>
                      <m:ctrlPr>
                        <a:rPr lang="es-AR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AR" sz="11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es-AR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AR" sz="1100" i="1">
                          <a:latin typeface="Cambria Math" panose="02040503050406030204" pitchFamily="18" charset="0"/>
                        </a:rPr>
                        <m:t>2</m:t>
                      </m:r>
                      <m:r>
                        <a:rPr lang="es-AR" sz="1100" b="0" i="1">
                          <a:latin typeface="Cambria Math" panose="02040503050406030204" pitchFamily="18" charset="0"/>
                        </a:rPr>
                        <m:t>𝑥</m:t>
                      </m:r>
                    </m:sup>
                  </m:sSup>
                  <m:r>
                    <a:rPr lang="es-AR" sz="1100" b="0" i="1">
                      <a:latin typeface="Cambria Math" panose="02040503050406030204" pitchFamily="18" charset="0"/>
                    </a:rPr>
                    <m:t>=0</m:t>
                  </m:r>
                </m:oMath>
              </a14:m>
              <a:br>
                <a:rPr lang="es-AR" sz="1100" b="0"/>
              </a:b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A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A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p>
                        </m:sSup>
                      </m:num>
                      <m:den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s-AR" sz="1100" b="0"/>
            </a:p>
            <a:p>
              <a:pPr algn="l"/>
              <a:endParaRPr lang="es-AR" sz="1100"/>
            </a:p>
          </xdr:txBody>
        </xdr:sp>
      </mc:Choice>
      <mc:Fallback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F5653FA2-34FB-3E18-3AF4-AA1C0C465CAE}"/>
                </a:ext>
              </a:extLst>
            </xdr:cNvPr>
            <xdr:cNvSpPr/>
          </xdr:nvSpPr>
          <xdr:spPr>
            <a:xfrm>
              <a:off x="2676525" y="142875"/>
              <a:ext cx="2724150" cy="838200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s-AR" sz="1100"/>
                <a:t>f(x)</a:t>
              </a:r>
              <a:r>
                <a:rPr lang="es-AR" sz="1100" i="0">
                  <a:latin typeface="Cambria Math" panose="02040503050406030204" pitchFamily="18" charset="0"/>
                </a:rPr>
                <a:t>=</a:t>
              </a:r>
              <a:r>
                <a:rPr lang="es-AR" sz="1100" b="0" i="0">
                  <a:latin typeface="Cambria Math" panose="02040503050406030204" pitchFamily="18" charset="0"/>
                </a:rPr>
                <a:t>3𝑥−𝑒^(−</a:t>
              </a:r>
              <a:r>
                <a:rPr lang="es-AR" sz="1100" i="0">
                  <a:latin typeface="Cambria Math" panose="02040503050406030204" pitchFamily="18" charset="0"/>
                </a:rPr>
                <a:t>2</a:t>
              </a:r>
              <a:r>
                <a:rPr lang="es-AR" sz="1100" b="0" i="0">
                  <a:latin typeface="Cambria Math" panose="02040503050406030204" pitchFamily="18" charset="0"/>
                </a:rPr>
                <a:t>𝑥)=0</a:t>
              </a:r>
              <a:br>
                <a:rPr lang="es-AR" sz="1100" b="0"/>
              </a:br>
              <a:r>
                <a:rPr lang="es-AR" sz="1100" b="0" i="0">
                  <a:latin typeface="Cambria Math" panose="02040503050406030204" pitchFamily="18" charset="0"/>
                </a:rPr>
                <a:t>𝑥=𝑒^(−2𝑥)/3</a:t>
              </a:r>
              <a:endParaRPr lang="es-AR" sz="1100" b="0"/>
            </a:p>
            <a:p>
              <a:pPr algn="l"/>
              <a:endParaRPr lang="es-AR" sz="1100"/>
            </a:p>
          </xdr:txBody>
        </xdr:sp>
      </mc:Fallback>
    </mc:AlternateContent>
    <xdr:clientData/>
  </xdr:twoCellAnchor>
  <xdr:twoCellAnchor editAs="oneCell">
    <xdr:from>
      <xdr:col>9</xdr:col>
      <xdr:colOff>266702</xdr:colOff>
      <xdr:row>0</xdr:row>
      <xdr:rowOff>161925</xdr:rowOff>
    </xdr:from>
    <xdr:to>
      <xdr:col>16</xdr:col>
      <xdr:colOff>140194</xdr:colOff>
      <xdr:row>27</xdr:row>
      <xdr:rowOff>144124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DA486D-8C16-EE38-DFB8-1ECC8293D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4702" y="161925"/>
          <a:ext cx="5207492" cy="5125699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24</xdr:row>
      <xdr:rowOff>38100</xdr:rowOff>
    </xdr:from>
    <xdr:to>
      <xdr:col>3</xdr:col>
      <xdr:colOff>723900</xdr:colOff>
      <xdr:row>28</xdr:row>
      <xdr:rowOff>114300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5EDDC893-24B8-4F96-8261-74ABF2672C13}"/>
                </a:ext>
              </a:extLst>
            </xdr:cNvPr>
            <xdr:cNvSpPr/>
          </xdr:nvSpPr>
          <xdr:spPr>
            <a:xfrm>
              <a:off x="285750" y="4610100"/>
              <a:ext cx="2724150" cy="838200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br>
                <a:rPr lang="es-AR" sz="1100" b="0"/>
              </a:b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AR" sz="1100" b="0" i="0">
                        <a:latin typeface="Cambria Math" panose="02040503050406030204" pitchFamily="18" charset="0"/>
                      </a:rPr>
                      <m:t>f</m:t>
                    </m:r>
                    <m:d>
                      <m:dPr>
                        <m:ctrlPr>
                          <a:rPr lang="es-AR" sz="1100" b="0" i="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AR" sz="1100" b="0" i="1">
                        <a:latin typeface="Cambria Math" panose="02040503050406030204" pitchFamily="18" charset="0"/>
                      </a:rPr>
                      <m:t>=2</m:t>
                    </m:r>
                    <m:sSup>
                      <m:sSup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sSup>
                          <m:sSupPr>
                            <m:ctrlPr>
                              <a:rPr lang="es-A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sup>
                    </m:sSup>
                    <m:r>
                      <a:rPr lang="es-AR" sz="1100" b="0" i="1">
                        <a:latin typeface="Cambria Math" panose="02040503050406030204" pitchFamily="18" charset="0"/>
                      </a:rPr>
                      <m:t>−5</m:t>
                    </m:r>
                    <m:r>
                      <a:rPr lang="es-AR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es-AR" sz="1100" b="0"/>
            </a:p>
            <a:p>
              <a:pPr algn="l"/>
              <a:endParaRPr lang="es-AR" sz="1100"/>
            </a:p>
          </xdr:txBody>
        </xdr:sp>
      </mc:Choice>
      <mc:Fallback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5EDDC893-24B8-4F96-8261-74ABF2672C13}"/>
                </a:ext>
              </a:extLst>
            </xdr:cNvPr>
            <xdr:cNvSpPr/>
          </xdr:nvSpPr>
          <xdr:spPr>
            <a:xfrm>
              <a:off x="285750" y="4610100"/>
              <a:ext cx="2724150" cy="838200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br>
                <a:rPr lang="es-AR" sz="1100" b="0"/>
              </a:br>
              <a:r>
                <a:rPr lang="es-AR" sz="1100" b="0" i="0">
                  <a:latin typeface="Cambria Math" panose="02040503050406030204" pitchFamily="18" charset="0"/>
                </a:rPr>
                <a:t>f(𝑥)=2𝑒^(𝑥^2 )−5𝑥</a:t>
              </a:r>
              <a:endParaRPr lang="es-AR" sz="1100" b="0"/>
            </a:p>
            <a:p>
              <a:pPr algn="l"/>
              <a:endParaRPr lang="es-AR" sz="1100"/>
            </a:p>
          </xdr:txBody>
        </xdr:sp>
      </mc:Fallback>
    </mc:AlternateContent>
    <xdr:clientData/>
  </xdr:twoCellAnchor>
  <xdr:twoCellAnchor>
    <xdr:from>
      <xdr:col>4</xdr:col>
      <xdr:colOff>276225</xdr:colOff>
      <xdr:row>24</xdr:row>
      <xdr:rowOff>47625</xdr:rowOff>
    </xdr:from>
    <xdr:to>
      <xdr:col>7</xdr:col>
      <xdr:colOff>714375</xdr:colOff>
      <xdr:row>28</xdr:row>
      <xdr:rowOff>123825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Rectángulo 5">
              <a:extLst>
                <a:ext uri="{FF2B5EF4-FFF2-40B4-BE49-F238E27FC236}">
                  <a16:creationId xmlns:a16="http://schemas.microsoft.com/office/drawing/2014/main" id="{291ECF7F-2082-400E-9DDA-7F4B7321B2D7}"/>
                </a:ext>
              </a:extLst>
            </xdr:cNvPr>
            <xdr:cNvSpPr/>
          </xdr:nvSpPr>
          <xdr:spPr>
            <a:xfrm>
              <a:off x="3324225" y="4619625"/>
              <a:ext cx="2724150" cy="838200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br>
                <a:rPr lang="es-AR" sz="1100" b="0"/>
              </a:b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AR" sz="1100" b="0" i="0">
                        <a:latin typeface="Cambria Math" panose="02040503050406030204" pitchFamily="18" charset="0"/>
                      </a:rPr>
                      <m:t>g</m:t>
                    </m:r>
                    <m:d>
                      <m:dPr>
                        <m:ctrlPr>
                          <a:rPr lang="es-AR" sz="1100" b="0" i="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A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5</m:t>
                        </m:r>
                      </m:den>
                    </m:f>
                    <m:sSup>
                      <m:sSup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sSup>
                          <m:sSupPr>
                            <m:ctrlPr>
                              <a:rPr lang="es-A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s-AR" sz="1100" b="0"/>
            </a:p>
            <a:p>
              <a:pPr algn="l"/>
              <a:endParaRPr lang="es-AR" sz="1100"/>
            </a:p>
          </xdr:txBody>
        </xdr:sp>
      </mc:Choice>
      <mc:Fallback>
        <xdr:sp macro="" textlink="">
          <xdr:nvSpPr>
            <xdr:cNvPr id="6" name="Rectángulo 5">
              <a:extLst>
                <a:ext uri="{FF2B5EF4-FFF2-40B4-BE49-F238E27FC236}">
                  <a16:creationId xmlns:a16="http://schemas.microsoft.com/office/drawing/2014/main" id="{291ECF7F-2082-400E-9DDA-7F4B7321B2D7}"/>
                </a:ext>
              </a:extLst>
            </xdr:cNvPr>
            <xdr:cNvSpPr/>
          </xdr:nvSpPr>
          <xdr:spPr>
            <a:xfrm>
              <a:off x="3324225" y="4619625"/>
              <a:ext cx="2724150" cy="838200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br>
                <a:rPr lang="es-AR" sz="1100" b="0"/>
              </a:br>
              <a:r>
                <a:rPr lang="es-AR" sz="1100" b="0" i="0">
                  <a:latin typeface="Cambria Math" panose="02040503050406030204" pitchFamily="18" charset="0"/>
                </a:rPr>
                <a:t>g(𝑥)=2/5 𝑒^(𝑥^2 )</a:t>
              </a:r>
              <a:endParaRPr lang="es-AR" sz="1100" b="0"/>
            </a:p>
            <a:p>
              <a:pPr algn="l"/>
              <a:endParaRPr lang="es-AR"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3</xdr:row>
      <xdr:rowOff>141895</xdr:rowOff>
    </xdr:from>
    <xdr:to>
      <xdr:col>3</xdr:col>
      <xdr:colOff>190500</xdr:colOff>
      <xdr:row>7</xdr:row>
      <xdr:rowOff>152537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4E273E-6B58-4711-B1EA-61F633464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13395"/>
          <a:ext cx="2047875" cy="772642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9</xdr:row>
      <xdr:rowOff>121976</xdr:rowOff>
    </xdr:from>
    <xdr:to>
      <xdr:col>9</xdr:col>
      <xdr:colOff>285751</xdr:colOff>
      <xdr:row>14</xdr:row>
      <xdr:rowOff>143073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96EC30-F575-67A4-4748-EF1E75864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836476"/>
          <a:ext cx="6886576" cy="973597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476251</xdr:colOff>
      <xdr:row>2</xdr:row>
      <xdr:rowOff>114487</xdr:rowOff>
    </xdr:from>
    <xdr:to>
      <xdr:col>8</xdr:col>
      <xdr:colOff>408601</xdr:colOff>
      <xdr:row>10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E8586DC-3610-1A00-6E39-B5E6F09D8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1" y="495487"/>
          <a:ext cx="3742350" cy="1428563"/>
        </a:xfrm>
        <a:prstGeom prst="rect">
          <a:avLst/>
        </a:prstGeom>
      </xdr:spPr>
    </xdr:pic>
    <xdr:clientData/>
  </xdr:twoCellAnchor>
  <xdr:twoCellAnchor editAs="oneCell">
    <xdr:from>
      <xdr:col>13</xdr:col>
      <xdr:colOff>733425</xdr:colOff>
      <xdr:row>5</xdr:row>
      <xdr:rowOff>95250</xdr:rowOff>
    </xdr:from>
    <xdr:to>
      <xdr:col>22</xdr:col>
      <xdr:colOff>372382</xdr:colOff>
      <xdr:row>10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90B6CE4-5507-983D-8D4A-119FCE566C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5760"/>
        <a:stretch/>
      </xdr:blipFill>
      <xdr:spPr>
        <a:xfrm>
          <a:off x="10639425" y="1047750"/>
          <a:ext cx="6496957" cy="10191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16</xdr:row>
      <xdr:rowOff>180975</xdr:rowOff>
    </xdr:from>
    <xdr:to>
      <xdr:col>11</xdr:col>
      <xdr:colOff>219624</xdr:colOff>
      <xdr:row>20</xdr:row>
      <xdr:rowOff>171555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457218-6E11-FF3B-3F54-9633066D6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7250" y="3228975"/>
          <a:ext cx="3934374" cy="752580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16</xdr:row>
      <xdr:rowOff>28575</xdr:rowOff>
    </xdr:from>
    <xdr:to>
      <xdr:col>23</xdr:col>
      <xdr:colOff>96206</xdr:colOff>
      <xdr:row>26</xdr:row>
      <xdr:rowOff>152683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8BE1A27-FD24-6F0B-3953-59CB1C30C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72775" y="3076575"/>
          <a:ext cx="6849431" cy="2029108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31</xdr:row>
      <xdr:rowOff>76200</xdr:rowOff>
    </xdr:from>
    <xdr:to>
      <xdr:col>15</xdr:col>
      <xdr:colOff>200896</xdr:colOff>
      <xdr:row>37</xdr:row>
      <xdr:rowOff>152570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6E5C616-14AF-0B8F-7F42-7987BFAE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91150" y="5981700"/>
          <a:ext cx="6239746" cy="121937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476250</xdr:colOff>
      <xdr:row>43</xdr:row>
      <xdr:rowOff>171450</xdr:rowOff>
    </xdr:from>
    <xdr:to>
      <xdr:col>10</xdr:col>
      <xdr:colOff>476569</xdr:colOff>
      <xdr:row>47</xdr:row>
      <xdr:rowOff>57240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A0B2995-07C0-A16C-6992-290B6332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10250" y="8362950"/>
          <a:ext cx="2286319" cy="647790"/>
        </a:xfrm>
        <a:prstGeom prst="rect">
          <a:avLst/>
        </a:prstGeom>
      </xdr:spPr>
    </xdr:pic>
    <xdr:clientData/>
  </xdr:twoCellAnchor>
  <xdr:twoCellAnchor editAs="oneCell">
    <xdr:from>
      <xdr:col>16</xdr:col>
      <xdr:colOff>219075</xdr:colOff>
      <xdr:row>40</xdr:row>
      <xdr:rowOff>133350</xdr:rowOff>
    </xdr:from>
    <xdr:to>
      <xdr:col>22</xdr:col>
      <xdr:colOff>610293</xdr:colOff>
      <xdr:row>51</xdr:row>
      <xdr:rowOff>9800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3156580-F59B-37A4-E751-EDB37E36F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11075" y="7753350"/>
          <a:ext cx="4963218" cy="1971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0409-4859-485E-92A7-B1990BF9A1F0}">
  <dimension ref="A7:H45"/>
  <sheetViews>
    <sheetView topLeftCell="A10" workbookViewId="0">
      <selection activeCell="K36" sqref="K36"/>
    </sheetView>
  </sheetViews>
  <sheetFormatPr baseColWidth="10" defaultRowHeight="15" x14ac:dyDescent="0.25"/>
  <cols>
    <col min="7" max="7" width="11.42578125" customWidth="1"/>
    <col min="8" max="8" width="14.7109375" customWidth="1"/>
  </cols>
  <sheetData>
    <row r="7" spans="1:7" x14ac:dyDescent="0.25">
      <c r="A7" s="2" t="s">
        <v>0</v>
      </c>
      <c r="B7" s="2" t="s">
        <v>1</v>
      </c>
      <c r="D7" s="3" t="s">
        <v>3</v>
      </c>
      <c r="E7" s="3" t="s">
        <v>0</v>
      </c>
      <c r="F7" s="3" t="s">
        <v>2</v>
      </c>
      <c r="G7" s="3" t="s">
        <v>4</v>
      </c>
    </row>
    <row r="8" spans="1:7" x14ac:dyDescent="0.25">
      <c r="A8" s="1">
        <v>-5</v>
      </c>
      <c r="B8">
        <f>3*A8-EXP(-2*A8)</f>
        <v>-22041.465794806718</v>
      </c>
      <c r="D8" s="4">
        <v>0</v>
      </c>
      <c r="E8" s="4">
        <v>0</v>
      </c>
      <c r="F8" s="4">
        <f>EXP(-2*E8)/3</f>
        <v>0.33333333333333331</v>
      </c>
      <c r="G8" s="4"/>
    </row>
    <row r="9" spans="1:7" x14ac:dyDescent="0.25">
      <c r="A9" s="1">
        <v>-4</v>
      </c>
      <c r="B9">
        <f t="shared" ref="B9:B18" si="0">3*A9-EXP(-2*A9)</f>
        <v>-2992.9579870417283</v>
      </c>
      <c r="D9" s="4">
        <f>D8+1</f>
        <v>1</v>
      </c>
      <c r="E9" s="4">
        <f>F8</f>
        <v>0.33333333333333331</v>
      </c>
      <c r="F9" s="4">
        <f>EXP(-2*E9)/3</f>
        <v>0.17113903967753066</v>
      </c>
      <c r="G9" s="4">
        <f>ABS(E9-E8)/E9</f>
        <v>1</v>
      </c>
    </row>
    <row r="10" spans="1:7" x14ac:dyDescent="0.25">
      <c r="A10" s="1">
        <v>-3</v>
      </c>
      <c r="B10">
        <f t="shared" si="0"/>
        <v>-412.42879349273511</v>
      </c>
      <c r="D10" s="4">
        <f t="shared" ref="D10:D20" si="1">D9+1</f>
        <v>2</v>
      </c>
      <c r="E10" s="4">
        <f>F9</f>
        <v>0.17113903967753066</v>
      </c>
      <c r="F10" s="4">
        <f>EXP(-2*E10)/3</f>
        <v>0.23671689966698181</v>
      </c>
      <c r="G10" s="4">
        <f t="shared" ref="G10:G20" si="2">ABS(E10-E9)/E10</f>
        <v>0.94773404105467585</v>
      </c>
    </row>
    <row r="11" spans="1:7" x14ac:dyDescent="0.25">
      <c r="A11" s="1">
        <v>-2</v>
      </c>
      <c r="B11">
        <f t="shared" si="0"/>
        <v>-60.598150033144236</v>
      </c>
      <c r="D11" s="4">
        <f t="shared" si="1"/>
        <v>3</v>
      </c>
      <c r="E11" s="4">
        <f>F10</f>
        <v>0.23671689966698181</v>
      </c>
      <c r="F11" s="4">
        <f>EXP(-2*E11)/3</f>
        <v>0.20761993879673993</v>
      </c>
      <c r="G11" s="4">
        <f t="shared" si="2"/>
        <v>0.27703074888910517</v>
      </c>
    </row>
    <row r="12" spans="1:7" x14ac:dyDescent="0.25">
      <c r="A12" s="1">
        <v>-1</v>
      </c>
      <c r="B12">
        <f t="shared" si="0"/>
        <v>-10.38905609893065</v>
      </c>
      <c r="D12" s="4">
        <f t="shared" si="1"/>
        <v>4</v>
      </c>
      <c r="E12" s="4">
        <f>F11</f>
        <v>0.20761993879673993</v>
      </c>
      <c r="F12" s="4">
        <f>EXP(-2*E12)/3</f>
        <v>0.22006063295481881</v>
      </c>
      <c r="G12" s="4">
        <f t="shared" si="2"/>
        <v>0.14014531089293802</v>
      </c>
    </row>
    <row r="13" spans="1:7" x14ac:dyDescent="0.25">
      <c r="A13" s="1">
        <v>0</v>
      </c>
      <c r="B13">
        <f t="shared" si="0"/>
        <v>-1</v>
      </c>
      <c r="D13" s="4">
        <f t="shared" si="1"/>
        <v>5</v>
      </c>
      <c r="E13" s="4">
        <f>F12</f>
        <v>0.22006063295481881</v>
      </c>
      <c r="F13" s="4">
        <f>EXP(-2*E13)/3</f>
        <v>0.21465277538530694</v>
      </c>
      <c r="G13" s="4">
        <f t="shared" si="2"/>
        <v>5.6533029061282013E-2</v>
      </c>
    </row>
    <row r="14" spans="1:7" x14ac:dyDescent="0.25">
      <c r="A14" s="1">
        <v>1</v>
      </c>
      <c r="B14">
        <f t="shared" si="0"/>
        <v>2.8646647167633872</v>
      </c>
      <c r="D14" s="4">
        <f t="shared" si="1"/>
        <v>6</v>
      </c>
      <c r="E14" s="4">
        <f>F13</f>
        <v>0.21465277538530694</v>
      </c>
      <c r="F14" s="4">
        <f>EXP(-2*E14)/3</f>
        <v>0.21698699905211427</v>
      </c>
      <c r="G14" s="4">
        <f t="shared" si="2"/>
        <v>2.5193513383671068E-2</v>
      </c>
    </row>
    <row r="15" spans="1:7" x14ac:dyDescent="0.25">
      <c r="A15" s="1">
        <v>2</v>
      </c>
      <c r="B15">
        <f t="shared" si="0"/>
        <v>5.9816843611112658</v>
      </c>
      <c r="D15" s="4">
        <f t="shared" si="1"/>
        <v>7</v>
      </c>
      <c r="E15" s="4">
        <f>F14</f>
        <v>0.21698699905211427</v>
      </c>
      <c r="F15" s="4">
        <f>EXP(-2*E15)/3</f>
        <v>0.21597636755043834</v>
      </c>
      <c r="G15" s="4">
        <f t="shared" si="2"/>
        <v>1.0757435592934819E-2</v>
      </c>
    </row>
    <row r="16" spans="1:7" x14ac:dyDescent="0.25">
      <c r="A16" s="1">
        <v>3</v>
      </c>
      <c r="B16">
        <f t="shared" si="0"/>
        <v>8.9975212478233342</v>
      </c>
      <c r="D16" s="4">
        <f t="shared" si="1"/>
        <v>8</v>
      </c>
      <c r="E16" s="4">
        <f>F15</f>
        <v>0.21597636755043834</v>
      </c>
      <c r="F16" s="4">
        <f>EXP(-2*E16)/3</f>
        <v>0.21641335407533838</v>
      </c>
      <c r="G16" s="4">
        <f t="shared" si="2"/>
        <v>4.6793615113464469E-3</v>
      </c>
    </row>
    <row r="17" spans="1:8" x14ac:dyDescent="0.25">
      <c r="A17" s="1">
        <v>4</v>
      </c>
      <c r="B17">
        <f t="shared" si="0"/>
        <v>11.999664537372098</v>
      </c>
      <c r="D17" s="4">
        <f t="shared" si="1"/>
        <v>9</v>
      </c>
      <c r="E17" s="4">
        <f t="shared" ref="E17:E20" si="3">F16</f>
        <v>0.21641335407533838</v>
      </c>
      <c r="F17" s="4">
        <f t="shared" ref="F17:F20" si="4">EXP(-2*E17)/3</f>
        <v>0.21622429726357281</v>
      </c>
      <c r="G17" s="4">
        <f t="shared" si="2"/>
        <v>2.0192216269053135E-3</v>
      </c>
    </row>
    <row r="18" spans="1:8" x14ac:dyDescent="0.25">
      <c r="A18" s="1">
        <v>5</v>
      </c>
      <c r="B18">
        <f t="shared" si="0"/>
        <v>14.999954600070238</v>
      </c>
      <c r="D18" s="4">
        <f t="shared" si="1"/>
        <v>10</v>
      </c>
      <c r="E18" s="4">
        <f t="shared" si="3"/>
        <v>0.21622429726357281</v>
      </c>
      <c r="F18" s="4">
        <f t="shared" si="4"/>
        <v>0.21630607007483935</v>
      </c>
      <c r="G18" s="4">
        <f t="shared" si="2"/>
        <v>8.7435507553116569E-4</v>
      </c>
    </row>
    <row r="19" spans="1:8" x14ac:dyDescent="0.25">
      <c r="D19" s="4">
        <f t="shared" si="1"/>
        <v>11</v>
      </c>
      <c r="E19" s="4">
        <f t="shared" si="3"/>
        <v>0.21630607007483935</v>
      </c>
      <c r="F19" s="4">
        <f t="shared" si="4"/>
        <v>0.21627069705658122</v>
      </c>
      <c r="G19" s="4">
        <f t="shared" si="2"/>
        <v>3.7804214758393735E-4</v>
      </c>
    </row>
    <row r="20" spans="1:8" x14ac:dyDescent="0.25">
      <c r="D20" s="4">
        <f t="shared" si="1"/>
        <v>12</v>
      </c>
      <c r="E20" s="4">
        <f t="shared" si="3"/>
        <v>0.21627069705658122</v>
      </c>
      <c r="F20" s="4">
        <f t="shared" si="4"/>
        <v>0.21628599789244296</v>
      </c>
      <c r="G20" s="4">
        <f t="shared" si="2"/>
        <v>1.6355899684767779E-4</v>
      </c>
    </row>
    <row r="32" spans="1:8" x14ac:dyDescent="0.25">
      <c r="A32" s="2" t="s">
        <v>0</v>
      </c>
      <c r="B32" s="2" t="s">
        <v>2</v>
      </c>
      <c r="D32" s="3" t="s">
        <v>3</v>
      </c>
      <c r="E32" s="3" t="s">
        <v>0</v>
      </c>
      <c r="F32" s="3" t="s">
        <v>2</v>
      </c>
      <c r="G32" s="3" t="s">
        <v>4</v>
      </c>
      <c r="H32" s="5" t="s">
        <v>5</v>
      </c>
    </row>
    <row r="33" spans="1:8" x14ac:dyDescent="0.25">
      <c r="A33" s="1">
        <v>0</v>
      </c>
      <c r="B33">
        <f>(2/5)*EXP(A33*2)</f>
        <v>0.4</v>
      </c>
      <c r="D33" s="4">
        <v>0</v>
      </c>
      <c r="E33" s="4">
        <v>0</v>
      </c>
      <c r="F33" s="4">
        <f>(2/5)*EXP(E33^2)</f>
        <v>0.4</v>
      </c>
      <c r="G33" s="4"/>
    </row>
    <row r="34" spans="1:8" x14ac:dyDescent="0.25">
      <c r="A34" s="1">
        <v>1</v>
      </c>
      <c r="B34">
        <f>(2/5)*EXP(A34*2)</f>
        <v>2.9556224395722603</v>
      </c>
      <c r="D34" s="4">
        <f>D33+1</f>
        <v>1</v>
      </c>
      <c r="E34" s="4">
        <f>F33</f>
        <v>0.4</v>
      </c>
      <c r="F34" s="4">
        <f t="shared" ref="F34:F45" si="5">(2/5)*EXP(E34^2)</f>
        <v>0.46940434839672412</v>
      </c>
      <c r="G34" s="4">
        <f>ABS(E34-E33)/E34</f>
        <v>1</v>
      </c>
      <c r="H34">
        <f>ABS(E34-E33)</f>
        <v>0.4</v>
      </c>
    </row>
    <row r="35" spans="1:8" x14ac:dyDescent="0.25">
      <c r="A35" s="1"/>
      <c r="D35" s="4">
        <f t="shared" ref="D35:D45" si="6">D34+1</f>
        <v>2</v>
      </c>
      <c r="E35" s="4">
        <f>F34</f>
        <v>0.46940434839672412</v>
      </c>
      <c r="F35" s="4">
        <f t="shared" si="5"/>
        <v>0.49860040801066863</v>
      </c>
      <c r="G35" s="4">
        <f>ABS(E35-E34)/E35</f>
        <v>0.14785621103378868</v>
      </c>
      <c r="H35">
        <f t="shared" ref="H35:H45" si="7">ABS(E35-E34)</f>
        <v>6.9404348396724103E-2</v>
      </c>
    </row>
    <row r="36" spans="1:8" x14ac:dyDescent="0.25">
      <c r="A36" s="1"/>
      <c r="D36" s="4">
        <f t="shared" si="6"/>
        <v>3</v>
      </c>
      <c r="E36" s="4">
        <f>F35</f>
        <v>0.49860040801066863</v>
      </c>
      <c r="F36" s="4">
        <f t="shared" si="5"/>
        <v>0.51289282949330273</v>
      </c>
      <c r="G36" s="4">
        <f t="shared" ref="G35:G45" si="8">ABS(E36-E35)/E36</f>
        <v>5.8556028324228307E-2</v>
      </c>
      <c r="H36">
        <f t="shared" si="7"/>
        <v>2.9196059613944503E-2</v>
      </c>
    </row>
    <row r="37" spans="1:8" x14ac:dyDescent="0.25">
      <c r="A37" s="1"/>
      <c r="D37" s="4">
        <f t="shared" si="6"/>
        <v>4</v>
      </c>
      <c r="E37" s="4">
        <f>F36</f>
        <v>0.51289282949330273</v>
      </c>
      <c r="F37" s="4">
        <f t="shared" si="5"/>
        <v>0.52036141638035927</v>
      </c>
      <c r="G37" s="4">
        <f t="shared" si="8"/>
        <v>2.7866292255935558E-2</v>
      </c>
      <c r="H37">
        <f t="shared" si="7"/>
        <v>1.4292421482634099E-2</v>
      </c>
    </row>
    <row r="38" spans="1:8" x14ac:dyDescent="0.25">
      <c r="D38" s="4">
        <f t="shared" si="6"/>
        <v>5</v>
      </c>
      <c r="E38" s="4">
        <f>F37</f>
        <v>0.52036141638035927</v>
      </c>
      <c r="F38" s="4">
        <f t="shared" si="5"/>
        <v>0.52439255298335341</v>
      </c>
      <c r="G38" s="4">
        <f t="shared" si="8"/>
        <v>1.4352691517768796E-2</v>
      </c>
      <c r="H38">
        <f t="shared" si="7"/>
        <v>7.4685868870565386E-3</v>
      </c>
    </row>
    <row r="39" spans="1:8" x14ac:dyDescent="0.25">
      <c r="D39" s="4">
        <f t="shared" si="6"/>
        <v>6</v>
      </c>
      <c r="E39" s="4">
        <f>F38</f>
        <v>0.52439255298335341</v>
      </c>
      <c r="F39" s="4">
        <f t="shared" si="5"/>
        <v>0.52660571346730722</v>
      </c>
      <c r="G39" s="4">
        <f t="shared" si="8"/>
        <v>7.6872499047905283E-3</v>
      </c>
      <c r="H39">
        <f t="shared" si="7"/>
        <v>4.0311366029941453E-3</v>
      </c>
    </row>
    <row r="40" spans="1:8" x14ac:dyDescent="0.25">
      <c r="A40" s="1"/>
      <c r="D40" s="4">
        <f t="shared" si="6"/>
        <v>7</v>
      </c>
      <c r="E40" s="4">
        <f>F39</f>
        <v>0.52660571346730722</v>
      </c>
      <c r="F40" s="4">
        <f t="shared" si="5"/>
        <v>0.52783203869372319</v>
      </c>
      <c r="G40" s="4">
        <f t="shared" si="8"/>
        <v>4.2026898443273553E-3</v>
      </c>
      <c r="H40">
        <f t="shared" si="7"/>
        <v>2.2131604839538133E-3</v>
      </c>
    </row>
    <row r="41" spans="1:8" x14ac:dyDescent="0.25">
      <c r="A41" s="1"/>
      <c r="D41" s="4">
        <f t="shared" si="6"/>
        <v>8</v>
      </c>
      <c r="E41" s="4">
        <f>F40</f>
        <v>0.52783203869372319</v>
      </c>
      <c r="F41" s="4">
        <f t="shared" si="5"/>
        <v>0.52851501112958343</v>
      </c>
      <c r="G41" s="4">
        <f t="shared" si="8"/>
        <v>2.3233247255147202E-3</v>
      </c>
      <c r="H41">
        <f t="shared" si="7"/>
        <v>1.2263252264159696E-3</v>
      </c>
    </row>
    <row r="42" spans="1:8" x14ac:dyDescent="0.25">
      <c r="A42" s="1"/>
      <c r="D42" s="4">
        <f t="shared" si="6"/>
        <v>9</v>
      </c>
      <c r="E42" s="4">
        <f t="shared" ref="E42:E45" si="9">F41</f>
        <v>0.52851501112958343</v>
      </c>
      <c r="F42" s="4">
        <f t="shared" si="5"/>
        <v>0.52889644899072907</v>
      </c>
      <c r="G42" s="4">
        <f t="shared" si="8"/>
        <v>1.2922479427794091E-3</v>
      </c>
      <c r="H42">
        <f t="shared" si="7"/>
        <v>6.829724358602407E-4</v>
      </c>
    </row>
    <row r="43" spans="1:8" x14ac:dyDescent="0.25">
      <c r="A43" s="1"/>
      <c r="D43" s="4">
        <f t="shared" si="6"/>
        <v>10</v>
      </c>
      <c r="E43" s="4">
        <f t="shared" si="9"/>
        <v>0.52889644899072907</v>
      </c>
      <c r="F43" s="4">
        <f t="shared" si="5"/>
        <v>0.52910981540022106</v>
      </c>
      <c r="G43" s="4">
        <f t="shared" si="8"/>
        <v>7.2119573098575565E-4</v>
      </c>
      <c r="H43">
        <f t="shared" si="7"/>
        <v>3.8143786114563927E-4</v>
      </c>
    </row>
    <row r="44" spans="1:8" x14ac:dyDescent="0.25">
      <c r="D44" s="4">
        <f t="shared" si="6"/>
        <v>11</v>
      </c>
      <c r="E44" s="4">
        <f t="shared" si="9"/>
        <v>0.52910981540022106</v>
      </c>
      <c r="F44" s="4">
        <f t="shared" si="5"/>
        <v>0.52922927171884948</v>
      </c>
      <c r="G44" s="4">
        <f t="shared" si="8"/>
        <v>4.032554363607811E-4</v>
      </c>
      <c r="H44">
        <f t="shared" si="7"/>
        <v>2.1336640949198848E-4</v>
      </c>
    </row>
    <row r="45" spans="1:8" x14ac:dyDescent="0.25">
      <c r="D45" s="4">
        <f t="shared" si="6"/>
        <v>12</v>
      </c>
      <c r="E45" s="4">
        <f t="shared" si="9"/>
        <v>0.52922927171884948</v>
      </c>
      <c r="F45" s="4">
        <f t="shared" si="5"/>
        <v>0.52929618391324984</v>
      </c>
      <c r="G45" s="4">
        <f t="shared" si="8"/>
        <v>2.257175198198028E-4</v>
      </c>
      <c r="H45">
        <f t="shared" si="7"/>
        <v>1.1945631862841921E-4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D167-8DF6-4B16-A1FB-965437E424BA}">
  <dimension ref="A1:P52"/>
  <sheetViews>
    <sheetView tabSelected="1" workbookViewId="0">
      <selection activeCell="S37" sqref="S37"/>
    </sheetView>
  </sheetViews>
  <sheetFormatPr baseColWidth="10" defaultRowHeight="15" x14ac:dyDescent="0.25"/>
  <cols>
    <col min="3" max="3" width="11.42578125" customWidth="1"/>
  </cols>
  <sheetData>
    <row r="1" spans="12:13" x14ac:dyDescent="0.25">
      <c r="L1" s="13" t="s">
        <v>15</v>
      </c>
      <c r="M1" s="13"/>
    </row>
    <row r="2" spans="12:13" x14ac:dyDescent="0.25">
      <c r="L2" s="13"/>
      <c r="M2" s="13"/>
    </row>
    <row r="17" spans="1:14" x14ac:dyDescent="0.25">
      <c r="A17" s="6" t="s">
        <v>9</v>
      </c>
      <c r="B17" s="6">
        <v>4</v>
      </c>
      <c r="E17" s="7" t="s">
        <v>11</v>
      </c>
      <c r="F17" s="7">
        <f>(2-1)/4</f>
        <v>0.25</v>
      </c>
    </row>
    <row r="18" spans="1:14" x14ac:dyDescent="0.25">
      <c r="A18" t="s">
        <v>12</v>
      </c>
      <c r="D18" t="s">
        <v>10</v>
      </c>
    </row>
    <row r="19" spans="1:14" x14ac:dyDescent="0.25">
      <c r="A19" s="8" t="s">
        <v>13</v>
      </c>
      <c r="B19" s="8">
        <v>1</v>
      </c>
      <c r="C19" s="9" t="s">
        <v>14</v>
      </c>
      <c r="D19" s="9">
        <v>2</v>
      </c>
    </row>
    <row r="21" spans="1:14" x14ac:dyDescent="0.25">
      <c r="N21" t="s">
        <v>17</v>
      </c>
    </row>
    <row r="22" spans="1:14" x14ac:dyDescent="0.25">
      <c r="B22" s="11" t="s">
        <v>6</v>
      </c>
      <c r="C22" s="11" t="s">
        <v>7</v>
      </c>
      <c r="D22" s="11" t="s">
        <v>8</v>
      </c>
    </row>
    <row r="23" spans="1:14" x14ac:dyDescent="0.25">
      <c r="B23" s="4">
        <v>0</v>
      </c>
      <c r="C23" s="4">
        <v>1</v>
      </c>
      <c r="D23" s="4">
        <f>(C23+(2/C23))^3</f>
        <v>27</v>
      </c>
      <c r="F23" s="10" t="s">
        <v>16</v>
      </c>
      <c r="G23" s="10">
        <f>(F17/2)*(D23+2*(D24+D25+D26)+D27)</f>
        <v>24.275931149443903</v>
      </c>
    </row>
    <row r="24" spans="1:14" x14ac:dyDescent="0.25">
      <c r="B24" s="4">
        <f>B23+1</f>
        <v>1</v>
      </c>
      <c r="C24" s="4">
        <f>$B$19+B24*$F$17</f>
        <v>1.25</v>
      </c>
      <c r="D24" s="4">
        <f t="shared" ref="D24:D27" si="0">(C24+(2/C24))^3</f>
        <v>23.149125000000002</v>
      </c>
    </row>
    <row r="25" spans="1:14" x14ac:dyDescent="0.25">
      <c r="B25" s="4">
        <f t="shared" ref="B25:B27" si="1">B24+1</f>
        <v>2</v>
      </c>
      <c r="C25" s="4">
        <f t="shared" ref="C25:C27" si="2">$B$19+B25*$F$17</f>
        <v>1.5</v>
      </c>
      <c r="D25" s="4">
        <f t="shared" si="0"/>
        <v>22.745370370370367</v>
      </c>
    </row>
    <row r="26" spans="1:14" x14ac:dyDescent="0.25">
      <c r="B26" s="4">
        <f t="shared" si="1"/>
        <v>3</v>
      </c>
      <c r="C26" s="4">
        <f t="shared" si="2"/>
        <v>1.75</v>
      </c>
      <c r="D26" s="4">
        <f t="shared" si="0"/>
        <v>24.209229227405245</v>
      </c>
    </row>
    <row r="27" spans="1:14" x14ac:dyDescent="0.25">
      <c r="B27" s="4">
        <f t="shared" si="1"/>
        <v>4</v>
      </c>
      <c r="C27" s="4">
        <f t="shared" si="2"/>
        <v>2</v>
      </c>
      <c r="D27" s="4">
        <f t="shared" si="0"/>
        <v>27</v>
      </c>
    </row>
    <row r="30" spans="1:14" x14ac:dyDescent="0.25">
      <c r="K30" s="12" t="s">
        <v>18</v>
      </c>
      <c r="L30" s="12"/>
    </row>
    <row r="39" spans="2:16" x14ac:dyDescent="0.25">
      <c r="B39" s="14" t="s">
        <v>19</v>
      </c>
      <c r="C39" s="15">
        <v>5</v>
      </c>
      <c r="E39" s="14" t="s">
        <v>20</v>
      </c>
      <c r="F39" s="15">
        <v>0.2</v>
      </c>
    </row>
    <row r="40" spans="2:16" x14ac:dyDescent="0.25">
      <c r="B40" s="14" t="s">
        <v>13</v>
      </c>
      <c r="C40" s="15">
        <v>0</v>
      </c>
    </row>
    <row r="43" spans="2:16" x14ac:dyDescent="0.25">
      <c r="B43" s="16" t="s">
        <v>6</v>
      </c>
      <c r="C43" s="16" t="s">
        <v>21</v>
      </c>
      <c r="D43" s="16" t="s">
        <v>22</v>
      </c>
      <c r="E43" s="16" t="s">
        <v>23</v>
      </c>
    </row>
    <row r="44" spans="2:16" x14ac:dyDescent="0.25">
      <c r="B44" s="4">
        <v>0</v>
      </c>
      <c r="C44" s="4">
        <v>0</v>
      </c>
      <c r="D44" s="4"/>
      <c r="E44" s="4"/>
    </row>
    <row r="45" spans="2:16" x14ac:dyDescent="0.25">
      <c r="B45" s="4">
        <f>B44+1</f>
        <v>1</v>
      </c>
      <c r="C45" s="4">
        <f>($C$40+B45)*($F$39)</f>
        <v>0.2</v>
      </c>
      <c r="D45" s="4">
        <f>(C44+C45)/2</f>
        <v>0.1</v>
      </c>
      <c r="E45" s="4">
        <f>EXP(D45^2)</f>
        <v>1.0100501670841679</v>
      </c>
      <c r="L45" s="17">
        <f>F39*E51</f>
        <v>1.4536948148217943</v>
      </c>
      <c r="M45" s="17"/>
    </row>
    <row r="46" spans="2:16" x14ac:dyDescent="0.25">
      <c r="B46" s="4">
        <f t="shared" ref="B46:B49" si="3">B45+1</f>
        <v>2</v>
      </c>
      <c r="C46" s="4">
        <f t="shared" ref="C46:C49" si="4">($C$40+B46)*($F$39)</f>
        <v>0.4</v>
      </c>
      <c r="D46" s="4">
        <f t="shared" ref="D46:D49" si="5">(C45+C46)/2</f>
        <v>0.30000000000000004</v>
      </c>
      <c r="E46" s="4">
        <f t="shared" ref="E46:E49" si="6">EXP(D46^2)</f>
        <v>1.0941742837052104</v>
      </c>
      <c r="L46" s="17"/>
      <c r="M46" s="17"/>
    </row>
    <row r="47" spans="2:16" x14ac:dyDescent="0.25">
      <c r="B47" s="4">
        <f t="shared" si="3"/>
        <v>3</v>
      </c>
      <c r="C47" s="4">
        <f t="shared" si="4"/>
        <v>0.60000000000000009</v>
      </c>
      <c r="D47" s="4">
        <f t="shared" si="5"/>
        <v>0.5</v>
      </c>
      <c r="E47" s="4">
        <f t="shared" si="6"/>
        <v>1.2840254166877414</v>
      </c>
      <c r="L47" s="17"/>
      <c r="M47" s="17"/>
      <c r="P47" t="s">
        <v>17</v>
      </c>
    </row>
    <row r="48" spans="2:16" x14ac:dyDescent="0.25">
      <c r="B48" s="4">
        <f t="shared" si="3"/>
        <v>4</v>
      </c>
      <c r="C48" s="4">
        <f t="shared" si="4"/>
        <v>0.8</v>
      </c>
      <c r="D48" s="4">
        <f t="shared" si="5"/>
        <v>0.70000000000000007</v>
      </c>
      <c r="E48" s="4">
        <f t="shared" si="6"/>
        <v>1.6323162199553791</v>
      </c>
    </row>
    <row r="49" spans="2:5" x14ac:dyDescent="0.25">
      <c r="B49" s="4">
        <f t="shared" si="3"/>
        <v>5</v>
      </c>
      <c r="C49" s="4">
        <f t="shared" si="4"/>
        <v>1</v>
      </c>
      <c r="D49" s="4">
        <f t="shared" si="5"/>
        <v>0.9</v>
      </c>
      <c r="E49" s="4">
        <f t="shared" si="6"/>
        <v>2.2479079866764717</v>
      </c>
    </row>
    <row r="51" spans="2:5" x14ac:dyDescent="0.25">
      <c r="D51" s="18" t="s">
        <v>24</v>
      </c>
      <c r="E51" s="19">
        <f>SUM(E45:E49)</f>
        <v>7.2684740741089708</v>
      </c>
    </row>
    <row r="52" spans="2:5" x14ac:dyDescent="0.25">
      <c r="D52" s="20"/>
      <c r="E52" s="21"/>
    </row>
  </sheetData>
  <mergeCells count="4">
    <mergeCell ref="L1:M2"/>
    <mergeCell ref="K30:L30"/>
    <mergeCell ref="D51:D52"/>
    <mergeCell ref="L45:M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PuntoFijo</vt:lpstr>
      <vt:lpstr>IntegraciónNumerica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AUQUI DIEGO JOAQUIN</dc:creator>
  <cp:lastModifiedBy>MARTINEZ AUQUI DIEGO JOAQUIN</cp:lastModifiedBy>
  <dcterms:created xsi:type="dcterms:W3CDTF">2025-04-15T22:09:50Z</dcterms:created>
  <dcterms:modified xsi:type="dcterms:W3CDTF">2025-04-16T13:48:16Z</dcterms:modified>
</cp:coreProperties>
</file>